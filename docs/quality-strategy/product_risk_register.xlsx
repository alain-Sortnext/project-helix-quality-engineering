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Register" sheetId="1" state="visible" r:id="rId3"/>
    <sheet name="Risk Summary" sheetId="2" state="visible" r:id="rId4"/>
    <sheet name="Test Layer Matrix" sheetId="3" state="visible" r:id="rId5"/>
  </sheets>
  <definedNames>
    <definedName function="false" hidden="true" localSheetId="0" name="_xlnm._FilterDatabase" vbProcedure="false">'Risk Register'!$A$3:$P$25</definedName>
    <definedName function="false" hidden="true" localSheetId="2" name="_xlnm._FilterDatabase" vbProcedure="false">'Test Layer Matrix'!$A$2:$H$24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<sst xmlns="http://schemas.openxmlformats.org/spreadsheetml/2006/main" count="427" uniqueCount="272">
  <si>
    <t xml:space="preserve">PROJECT HELIX — PRODUCT QUALITY RISK REGISTER</t>
  </si>
  <si>
    <t xml:space="preserve">GenomeBridge Clinical Systems Ltd  |  Phase 1 — Quality Discovery  |  Version 1.0  |  4 August 2026</t>
  </si>
  <si>
    <t xml:space="preserve">Risk ID</t>
  </si>
  <si>
    <t xml:space="preserve">Category</t>
  </si>
  <si>
    <t xml:space="preserve">Risk Statement</t>
  </si>
  <si>
    <t xml:space="preserve">Affected Workflow Step</t>
  </si>
  <si>
    <t xml:space="preserve">User Impact</t>
  </si>
  <si>
    <t xml:space="preserve">Likelihood
(1–5)</t>
  </si>
  <si>
    <t xml:space="preserve">Impact
(1–5)</t>
  </si>
  <si>
    <t xml:space="preserve">Risk Score
(L×I)</t>
  </si>
  <si>
    <t xml:space="preserve">RAG</t>
  </si>
  <si>
    <t xml:space="preserve">Proposed Control</t>
  </si>
  <si>
    <t xml:space="preserve">Testing Layer</t>
  </si>
  <si>
    <t xml:space="preserve">Owner</t>
  </si>
  <si>
    <t xml:space="preserve">Status</t>
  </si>
  <si>
    <t xml:space="preserve">Phase 1
Evidence</t>
  </si>
  <si>
    <t xml:space="preserve">DCB0129/
0160 Link</t>
  </si>
  <si>
    <t xml:space="preserve">Notes</t>
  </si>
  <si>
    <t xml:space="preserve">QR-001</t>
  </si>
  <si>
    <t xml:space="preserve">Patient Identification</t>
  </si>
  <si>
    <t xml:space="preserve">Users search for a patient and select the wrong record because names or DOBs are similar</t>
  </si>
  <si>
    <t xml:space="preserve">Step 1 — Locate patient</t>
  </si>
  <si>
    <t xml:space="preserve">Incorrect patient receives clinical referral or genomic test order</t>
  </si>
  <si>
    <t xml:space="preserve">HIGH</t>
  </si>
  <si>
    <t xml:space="preserve">Enforce multi-field search returning DOB, gender and identifier alongside name; add confirmation step before record is opened</t>
  </si>
  <si>
    <t xml:space="preserve">Exploratory (Phase 2) + Playwright Journey 1 (Phase 6)</t>
  </si>
  <si>
    <t xml:space="preserve">Laura Okafor</t>
  </si>
  <si>
    <t xml:space="preserve">Open</t>
  </si>
  <si>
    <t xml:space="preserve">Observed in OpenMRS: search returns multiple results with similar surnames</t>
  </si>
  <si>
    <t xml:space="preserve">DCB0129 §6.3 — Hazard: wrong patient selected</t>
  </si>
  <si>
    <t xml:space="preserve">Priority 1 — feeds Phase 2 Charter 2</t>
  </si>
  <si>
    <t xml:space="preserve">QR-002</t>
  </si>
  <si>
    <t xml:space="preserve">Duplicate Records</t>
  </si>
  <si>
    <t xml:space="preserve">Two records are created for the same patient — one from registration, one from referral import</t>
  </si>
  <si>
    <t xml:space="preserve">Step 1 — Register patient</t>
  </si>
  <si>
    <t xml:space="preserve">Duplicate referrals, split history, incorrect cumulative reporting</t>
  </si>
  <si>
    <t xml:space="preserve">Implement pre-registration duplicate-check using FHIR conditional-create (if-none-exist); SQL uniqueness validation in Phase 4</t>
  </si>
  <si>
    <t xml:space="preserve">Exploratory (Phase 2) + FHIR API Phase 3 + SQL Phase 4</t>
  </si>
  <si>
    <t xml:space="preserve">Aisha Rahman</t>
  </si>
  <si>
    <t xml:space="preserve">HAPI FHIR: conditional-create tested in Phase 3</t>
  </si>
  <si>
    <t xml:space="preserve">DCB0129 §6.3 — Hazard: duplicate patient identity</t>
  </si>
  <si>
    <t xml:space="preserve">Phase 3 task: POST Patient with If-None-Exist header</t>
  </si>
  <si>
    <t xml:space="preserve">QR-003</t>
  </si>
  <si>
    <t xml:space="preserve">Incomplete Demographics</t>
  </si>
  <si>
    <t xml:space="preserve">Patient records are created with mandatory demographic fields missing — name, DOB or gender absent</t>
  </si>
  <si>
    <t xml:space="preserve">Step 2 — Review demographics</t>
  </si>
  <si>
    <t xml:space="preserve">Downstream referral validation fails; reports exclude patients</t>
  </si>
  <si>
    <t xml:space="preserve">MED</t>
  </si>
  <si>
    <t xml:space="preserve">Enforce required fields in registration form; SQL completeness checks in Phase 4</t>
  </si>
  <si>
    <t xml:space="preserve">Cypress validation suite (Phase 5) + SQL Phase 4</t>
  </si>
  <si>
    <t xml:space="preserve">Mark Evans</t>
  </si>
  <si>
    <t xml:space="preserve">OpenMRS registration form explored in Phase 2 charter 3</t>
  </si>
  <si>
    <t xml:space="preserve">None direct</t>
  </si>
  <si>
    <t xml:space="preserve">Boundary-value analysis on DOB field — Phase 2 task</t>
  </si>
  <si>
    <t xml:space="preserve">QR-004</t>
  </si>
  <si>
    <t xml:space="preserve">Consent Handling</t>
  </si>
  <si>
    <t xml:space="preserve">Genomic test request is created without a recorded consent resource</t>
  </si>
  <si>
    <t xml:space="preserve">Step 4 — Record consent</t>
  </si>
  <si>
    <t xml:space="preserve">Regulatory non-compliance; test request legally invalid</t>
  </si>
  <si>
    <t xml:space="preserve">Validate FHIR Consent resource is present and linked before ServiceRequest status advances; Phase 3 relationship validation</t>
  </si>
  <si>
    <t xml:space="preserve">FHIR API Phase 3 + Playwright API Phase 3</t>
  </si>
  <si>
    <t xml:space="preserve">FHIR Consent created and linked in Phase 3 workflow chain</t>
  </si>
  <si>
    <t xml:space="preserve">DCB0129 §6.3 — Hazard: consent not obtained</t>
  </si>
  <si>
    <t xml:space="preserve">CONS-MISS code in operational queue report</t>
  </si>
  <si>
    <t xml:space="preserve">QR-005</t>
  </si>
  <si>
    <t xml:space="preserve">Referral Completeness</t>
  </si>
  <si>
    <t xml:space="preserve">ServiceRequest records are submitted with one or more mandatory clinical fields absent</t>
  </si>
  <si>
    <t xml:space="preserve">Step 3 — Create referral</t>
  </si>
  <si>
    <t xml:space="preserve">Referral cannot be processed; TAT clock starts incorrectly</t>
  </si>
  <si>
    <t xml:space="preserve">FHIR schema validation for ServiceRequest mandatory fields in Phase 3; negative-test suite</t>
  </si>
  <si>
    <t xml:space="preserve">FHIR API negative tests (Phase 3) + SQL Phase 4</t>
  </si>
  <si>
    <t xml:space="preserve">REF-INC code observed in operational data</t>
  </si>
  <si>
    <t xml:space="preserve">Feeds wrong-direction trap: surface metric is TAT; root cause is REF-INC rate</t>
  </si>
  <si>
    <t xml:space="preserve">QR-006</t>
  </si>
  <si>
    <t xml:space="preserve">Specimen Linkage</t>
  </si>
  <si>
    <t xml:space="preserve">Specimen resource is created but not correctly associated with its parent ServiceRequest</t>
  </si>
  <si>
    <t xml:space="preserve">Step 6 — Associate specimen</t>
  </si>
  <si>
    <t xml:space="preserve">Genomic test cannot proceed; specimen appears orphaned in queue</t>
  </si>
  <si>
    <t xml:space="preserve">FHIR Specimen.request reference validation in Phase 3; SQL orphan-specimen check in Phase 4; SPEC-UNLINK rate tracked in operational report</t>
  </si>
  <si>
    <t xml:space="preserve">FHIR API Phase 3 + SQL Phase 4 + Playwright API Phase 3</t>
  </si>
  <si>
    <t xml:space="preserve">Daniel Brooks</t>
  </si>
  <si>
    <t xml:space="preserve">SPEC-UNLINK is the primary metric thread across all phases</t>
  </si>
  <si>
    <t xml:space="preserve">DCB0129 §6.3 — Hazard: wrong specimen used</t>
  </si>
  <si>
    <t xml:space="preserve">PRIMARY RISK — answer key metric lives here</t>
  </si>
  <si>
    <t xml:space="preserve">QR-007</t>
  </si>
  <si>
    <t xml:space="preserve">Workflow Status Tracking</t>
  </si>
  <si>
    <t xml:space="preserve">Task resource status is not updated when processing moves between stages — WF-STALL accumulates</t>
  </si>
  <si>
    <t xml:space="preserve">Step 7 — Track status</t>
  </si>
  <si>
    <t xml:space="preserve">Operational team cannot identify blocked referrals; SLA breached silently</t>
  </si>
  <si>
    <t xml:space="preserve">Task status transition validation in Phase 3 API tests; WF-STALL count tracked in SQL Phase 4</t>
  </si>
  <si>
    <t xml:space="preserve">FHIR API Phase 3 + SQL Phase 4</t>
  </si>
  <si>
    <t xml:space="preserve">WF-STALL code in operational report</t>
  </si>
  <si>
    <t xml:space="preserve">Phase 4 SQL: invalid status transitions represented in dataset</t>
  </si>
  <si>
    <t xml:space="preserve">QR-008</t>
  </si>
  <si>
    <t xml:space="preserve">Diagnostic Report Availability</t>
  </si>
  <si>
    <t xml:space="preserve">DiagnosticReport resource is created but not linked to the correct patient or subject</t>
  </si>
  <si>
    <t xml:space="preserve">Step 8 — Diagnostic report</t>
  </si>
  <si>
    <t xml:space="preserve">Clinician retrieves wrong report or report is inaccessible</t>
  </si>
  <si>
    <t xml:space="preserve">FHIR DiagnosticReport.subject reference validation in Phase 3</t>
  </si>
  <si>
    <t xml:space="preserve">FHIR API Phase 3</t>
  </si>
  <si>
    <t xml:space="preserve">DiagnosticReport relationship tested in Phase 3 chain</t>
  </si>
  <si>
    <t xml:space="preserve">DCB0129 §6.3 — Hazard: wrong result attributed</t>
  </si>
  <si>
    <t xml:space="preserve">Low likelihood — tested for completeness of hazard coverage</t>
  </si>
  <si>
    <t xml:space="preserve">QR-009</t>
  </si>
  <si>
    <t xml:space="preserve">Unauthorised Access</t>
  </si>
  <si>
    <t xml:space="preserve">A user in one role can access a patient record or referral they should not see</t>
  </si>
  <si>
    <t xml:space="preserve">Step 9 — Access control</t>
  </si>
  <si>
    <t xml:space="preserve">Patient confidentiality breach; UK GDPR Article 5(1)(f) violation</t>
  </si>
  <si>
    <t xml:space="preserve">Role-based workflow exploration in Phase 2 charter 7; access-control scenarios in Playwright Phase 6</t>
  </si>
  <si>
    <t xml:space="preserve">Exploratory Phase 2 + Playwright Phase 6</t>
  </si>
  <si>
    <t xml:space="preserve">OpenMRS role exploration in Phase 2</t>
  </si>
  <si>
    <t xml:space="preserve">DCB0160 §8 — Deploying organisation access controls</t>
  </si>
  <si>
    <t xml:space="preserve">Awareness only — cannot perform security testing against public system</t>
  </si>
  <si>
    <t xml:space="preserve">QR-010</t>
  </si>
  <si>
    <t xml:space="preserve">Session Control</t>
  </si>
  <si>
    <t xml:space="preserve">An authenticated session does not terminate correctly on logout or timeout</t>
  </si>
  <si>
    <t xml:space="preserve">Step 9 — Session</t>
  </si>
  <si>
    <t xml:space="preserve">Subsequent user on shared terminal accesses prior session</t>
  </si>
  <si>
    <t xml:space="preserve">Session and logout tests in Playwright Journey 4 Phase 6; Cypress session checks Phase 5</t>
  </si>
  <si>
    <t xml:space="preserve">Cypress Phase 5 + Playwright Phase 6</t>
  </si>
  <si>
    <t xml:space="preserve">Logout and session recovery tested in Phase 2 charter 1</t>
  </si>
  <si>
    <t xml:space="preserve">Safely testable on public demo environment</t>
  </si>
  <si>
    <t xml:space="preserve">QR-011</t>
  </si>
  <si>
    <t xml:space="preserve">Form Validation Inconsistency</t>
  </si>
  <si>
    <t xml:space="preserve">Validation messages are absent, inconsistent or misleading across registration and referral forms</t>
  </si>
  <si>
    <t xml:space="preserve">Steps 1–3</t>
  </si>
  <si>
    <t xml:space="preserve">Users submit incomplete data believing it was accepted; support ticket volume increases</t>
  </si>
  <si>
    <t xml:space="preserve">Cypress validation suite Phase 5 — equivalence partitioning and boundary-value analysis applied</t>
  </si>
  <si>
    <t xml:space="preserve">Cypress Phase 5</t>
  </si>
  <si>
    <t xml:space="preserve">Phase 2 charter 3 and 5 — validation behaviour documented</t>
  </si>
  <si>
    <t xml:space="preserve">James Wright complaint theme — form validation issues</t>
  </si>
  <si>
    <t xml:space="preserve">QR-012</t>
  </si>
  <si>
    <t xml:space="preserve">API Compatibility</t>
  </si>
  <si>
    <t xml:space="preserve">A change to the FHIR API contract removes or renames a field, breaking downstream consumers</t>
  </si>
  <si>
    <t xml:space="preserve">Steps 3–8 — all API consumers</t>
  </si>
  <si>
    <t xml:space="preserve">Consumers silently receive null where a value is expected; data loss</t>
  </si>
  <si>
    <t xml:space="preserve">LOW</t>
  </si>
  <si>
    <t xml:space="preserve">API compatibility analysis in Phase 3 — fictional old vs new contract diff</t>
  </si>
  <si>
    <t xml:space="preserve">Compatibility assessment document produced in Phase 3</t>
  </si>
  <si>
    <t xml:space="preserve">Backwards-compatibility risk analysis — no live Pact environment required</t>
  </si>
  <si>
    <t xml:space="preserve">QR-013</t>
  </si>
  <si>
    <t xml:space="preserve">Synthetic Data Protection</t>
  </si>
  <si>
    <t xml:space="preserve">A synthetic record is created with a format indistinguishable from real patient data</t>
  </si>
  <si>
    <t xml:space="preserve">All phases — test data</t>
  </si>
  <si>
    <t xml:space="preserve">GDPR breach risk; regulatory non-compliance under UK DSPT</t>
  </si>
  <si>
    <t xml:space="preserve">Synthetic data policy produced in Phase 4; naming convention and tagging enforced</t>
  </si>
  <si>
    <t xml:space="preserve">SQL Phase 4 — data policy + naming convention</t>
  </si>
  <si>
    <t xml:space="preserve">Laura Okafor constraint — non-negotiable</t>
  </si>
  <si>
    <t xml:space="preserve">UK GDPR Article 5 + NHS DSPT</t>
  </si>
  <si>
    <t xml:space="preserve">CONS-MISS and SPEC-UNLINK codes must not reference real identifiers</t>
  </si>
  <si>
    <t xml:space="preserve">QR-014</t>
  </si>
  <si>
    <t xml:space="preserve">Accessibility</t>
  </si>
  <si>
    <t xml:space="preserve">Key clinical workflows are inaccessible to users relying on keyboard navigation or assistive technology</t>
  </si>
  <si>
    <t xml:space="preserve">Steps 1–3 — patient search and registration</t>
  </si>
  <si>
    <t xml:space="preserve">Clinical staff with accessibility needs cannot complete referral workflow</t>
  </si>
  <si>
    <t xml:space="preserve">axe-core checks on login, search, registration, error states in Playwright Phase 6; keyboard-only charter in Phase 2</t>
  </si>
  <si>
    <t xml:space="preserve">Exploratory Phase 2 + Playwright Phase 6 (axe-core)</t>
  </si>
  <si>
    <t xml:space="preserve">Phase 2 charter 7 — keyboard-only workflow</t>
  </si>
  <si>
    <t xml:space="preserve">WCAG 2.1 AA — not DCB0129 directly</t>
  </si>
  <si>
    <t xml:space="preserve">Niche but recurring in UK healthtech QA postings</t>
  </si>
  <si>
    <t xml:space="preserve">QR-015</t>
  </si>
  <si>
    <t xml:space="preserve">Browser Compatibility</t>
  </si>
  <si>
    <t xml:space="preserve">A workflow behaves correctly in Chromium but fails or renders incorrectly in Firefox or WebKit</t>
  </si>
  <si>
    <t xml:space="preserve">Clinical users on non-Chrome browsers experience broken workflows</t>
  </si>
  <si>
    <t xml:space="preserve">Playwright cross-browser Phase 6 — Journey 3 runs in Chromium, Firefox and WebKit</t>
  </si>
  <si>
    <t xml:space="preserve">Playwright Phase 6</t>
  </si>
  <si>
    <t xml:space="preserve">Phase 2 charter 8 — browser behaviour documented</t>
  </si>
  <si>
    <t xml:space="preserve">Environmental failures must be distinguished from genuine defects</t>
  </si>
  <si>
    <t xml:space="preserve">QR-016</t>
  </si>
  <si>
    <t xml:space="preserve">Automation Reliability</t>
  </si>
  <si>
    <t xml:space="preserve">The existing Cypress suite produces intermittent failures caused by test design, not the application</t>
  </si>
  <si>
    <t xml:space="preserve">All automated checks</t>
  </si>
  <si>
    <t xml:space="preserve">False confidence in green build; real defects masked by flaky tests</t>
  </si>
  <si>
    <t xml:space="preserve">Phase 5 reliability measurement — first-run vs final pass rate; flaky-test root-cause analysis</t>
  </si>
  <si>
    <t xml:space="preserve">Cypress Phase 5 — reliability analysis</t>
  </si>
  <si>
    <t xml:space="preserve">Mark Evans handover acknowledges inconsistent standards</t>
  </si>
  <si>
    <t xml:space="preserve">Phase 5 allocation matrix determines what stays vs moves to Playwright</t>
  </si>
  <si>
    <t xml:space="preserve">QR-017</t>
  </si>
  <si>
    <t xml:space="preserve">Public Environment Instability</t>
  </si>
  <si>
    <t xml:space="preserve">OpenMRS or HAPI FHIR public demo server is unavailable or resets data during a test run</t>
  </si>
  <si>
    <t xml:space="preserve">All browser and API tests</t>
  </si>
  <si>
    <t xml:space="preserve">Test results are invalid; CI pipeline reports false failures</t>
  </si>
  <si>
    <t xml:space="preserve">Tests create own data dynamically; avoid fixed IDs; tolerate resets; CI timeout controls; environment instability classified separately from product defects</t>
  </si>
  <si>
    <t xml:space="preserve">All phases — responsible testing rules enforced</t>
  </si>
  <si>
    <t xml:space="preserve">Documented in Phase 7 CI/CD failure classification</t>
  </si>
  <si>
    <t xml:space="preserve">Section 2 of brief: candidate cannot rely on permanent data</t>
  </si>
  <si>
    <t xml:space="preserve">QR-018</t>
  </si>
  <si>
    <t xml:space="preserve">Test Data Reuse</t>
  </si>
  <si>
    <t xml:space="preserve">Automation tests share a fixed patient record — one test's state change breaks subsequent tests</t>
  </si>
  <si>
    <t xml:space="preserve">Phases 5 and 6 — automation</t>
  </si>
  <si>
    <t xml:space="preserve">Non-deterministic failures; order-dependent test results</t>
  </si>
  <si>
    <t xml:space="preserve">Phase 4 naming convention and unique-run identifiers applied in Cypress Phase 5 and Playwright Phase 6</t>
  </si>
  <si>
    <t xml:space="preserve">Phase 4 utilities + Cypress Phase 5 + Playwright Phase 6</t>
  </si>
  <si>
    <t xml:space="preserve">Phase 4 test-data policy defines isolation requirement</t>
  </si>
  <si>
    <t xml:space="preserve">Directly addresses James Wright complaint about inconsistent regression results</t>
  </si>
  <si>
    <t xml:space="preserve">QR-019</t>
  </si>
  <si>
    <t xml:space="preserve">Performance Under Load</t>
  </si>
  <si>
    <t xml:space="preserve">The referral submission endpoint degrades unacceptably under expected concurrent user load</t>
  </si>
  <si>
    <t xml:space="preserve">Referral submission times out; clinical users abandon and retry creating duplicates</t>
  </si>
  <si>
    <t xml:space="preserve">k6 performance tests against local mock endpoint in Phase 7 — baseline, expected load, stress spike, recovery</t>
  </si>
  <si>
    <t xml:space="preserve">Phase 7 — k6 performance</t>
  </si>
  <si>
    <t xml:space="preserve">Local mock only — must not load-test public systems</t>
  </si>
  <si>
    <t xml:space="preserve">p50/p95/p99 latency thresholds defined in Phase 7</t>
  </si>
  <si>
    <t xml:space="preserve">QR-020</t>
  </si>
  <si>
    <t xml:space="preserve">Quality Evidence Consolidation</t>
  </si>
  <si>
    <t xml:space="preserve">Release decision is made based on raw test-pass count rather than risk-weighted quality evidence</t>
  </si>
  <si>
    <t xml:space="preserve">Step — Release review</t>
  </si>
  <si>
    <t xml:space="preserve">P1 defects ship to production because scorecard looked green</t>
  </si>
  <si>
    <t xml:space="preserve">Phase 8 final quality scorecard reconciles all phase evidence; Go/No-Go recommendation requires evidence per risk</t>
  </si>
  <si>
    <t xml:space="preserve">Phase 8 — release readiness</t>
  </si>
  <si>
    <t xml:space="preserve">Addresses GenomeBridge's stated problem: 'release decisions rely too heavily on test count'</t>
  </si>
  <si>
    <t xml:space="preserve">DCB0129 §9 — release authorisation requires documented evidence</t>
  </si>
  <si>
    <t xml:space="preserve">Senior-stretch deliverable — Phase 8</t>
  </si>
  <si>
    <t xml:space="preserve">QR-021</t>
  </si>
  <si>
    <t xml:space="preserve">Clinical Safety Context</t>
  </si>
  <si>
    <t xml:space="preserve">QA evidence is presented to clinical safety reviewers without distinguishing what it does and does not prove</t>
  </si>
  <si>
    <t xml:space="preserve">All phases — reporting</t>
  </si>
  <si>
    <t xml:space="preserve">Clinical Safety Officer makes assurance decisions on insufficient evidence</t>
  </si>
  <si>
    <t xml:space="preserve">Phase 1 system context map distinguishes QA evidence from clinical safety case; Phase 8 Laura Okafor challenge response addresses this directly</t>
  </si>
  <si>
    <t xml:space="preserve">Phase 1 + Phase 8</t>
  </si>
  <si>
    <t xml:space="preserve">DCB0129/DCB0160 awareness documented in company brief</t>
  </si>
  <si>
    <t xml:space="preserve">DCB0129 §6 and DCB0160 §8 — clinical safety case ownership</t>
  </si>
  <si>
    <t xml:space="preserve">Awareness-level only — candidate is NOT the Clinical Safety Officer</t>
  </si>
  <si>
    <t xml:space="preserve">QR-022</t>
  </si>
  <si>
    <t xml:space="preserve">Traceability</t>
  </si>
  <si>
    <t xml:space="preserve">Test results cannot be traced back to requirements or risks — release decision is not auditable</t>
  </si>
  <si>
    <t xml:space="preserve">All phases</t>
  </si>
  <si>
    <t xml:space="preserve">Cannot demonstrate that priority risks were tested; audit fails</t>
  </si>
  <si>
    <t xml:space="preserve">Requirements traceability matrix built in Phase 1; updated each phase; final matrix in Phase 8</t>
  </si>
  <si>
    <t xml:space="preserve">All phases — traceability matrix</t>
  </si>
  <si>
    <t xml:space="preserve">Traceability matrix column present in this register</t>
  </si>
  <si>
    <t xml:space="preserve">DCB0129 §9 — traceability of safety-relevant testing</t>
  </si>
  <si>
    <t xml:space="preserve">Cross-phase artefact — connects risk IDs to test IDs to evidence</t>
  </si>
  <si>
    <t xml:space="preserve">PROJECT HELIX — RISK SUMMARY DASHBOARD</t>
  </si>
  <si>
    <t xml:space="preserve">RAG Status</t>
  </si>
  <si>
    <t xml:space="preserve">Risks by Category</t>
  </si>
  <si>
    <t xml:space="preserve">Count</t>
  </si>
  <si>
    <t xml:space="preserve">HIGH (≥16)</t>
  </si>
  <si>
    <t xml:space="preserve">MEDIUM (9–15)</t>
  </si>
  <si>
    <t xml:space="preserve">LOW (&lt;9)</t>
  </si>
  <si>
    <t xml:space="preserve">TOTAL RISKS</t>
  </si>
  <si>
    <t xml:space="preserve">PROJECT HELIX — TEST LAYER DECISION MATRIX</t>
  </si>
  <si>
    <t xml:space="preserve">Risk Statement (short)</t>
  </si>
  <si>
    <t xml:space="preserve">Manual
Exploratory</t>
  </si>
  <si>
    <t xml:space="preserve">Cypress</t>
  </si>
  <si>
    <t xml:space="preserve">Playwright</t>
  </si>
  <si>
    <t xml:space="preserve">FHIR API
(Postman/PW)</t>
  </si>
  <si>
    <t xml:space="preserve">SQL
Validation</t>
  </si>
  <si>
    <t xml:space="preserve">Performance
(k6)</t>
  </si>
  <si>
    <t xml:space="preserve">Wrong patient selected</t>
  </si>
  <si>
    <t xml:space="preserve">✓</t>
  </si>
  <si>
    <t xml:space="preserve">Duplicate patient records</t>
  </si>
  <si>
    <t xml:space="preserve">Incomplete demographics</t>
  </si>
  <si>
    <t xml:space="preserve">Consent not recorded</t>
  </si>
  <si>
    <t xml:space="preserve">Referral incomplete (REF-INC)</t>
  </si>
  <si>
    <t xml:space="preserve">Specimen unlinked (SPEC-UNLINK)</t>
  </si>
  <si>
    <t xml:space="preserve">Workflow stalled (WF-STALL)</t>
  </si>
  <si>
    <t xml:space="preserve">Diagnostic report mislinked</t>
  </si>
  <si>
    <t xml:space="preserve">Unauthorised access</t>
  </si>
  <si>
    <t xml:space="preserve">Session not terminated</t>
  </si>
  <si>
    <t xml:space="preserve">Form validation inconsistency</t>
  </si>
  <si>
    <t xml:space="preserve">API compatibility break</t>
  </si>
  <si>
    <t xml:space="preserve">Synthetic data unprotected</t>
  </si>
  <si>
    <t xml:space="preserve">Accessibility barriers</t>
  </si>
  <si>
    <t xml:space="preserve">Browser incompatibility</t>
  </si>
  <si>
    <t xml:space="preserve">Flaky automation (Cypress)</t>
  </si>
  <si>
    <t xml:space="preserve">Public environment instability</t>
  </si>
  <si>
    <t xml:space="preserve">Test data reuse causing failures</t>
  </si>
  <si>
    <t xml:space="preserve">Performance degradation</t>
  </si>
  <si>
    <t xml:space="preserve">Evidence not consolidated</t>
  </si>
  <si>
    <t xml:space="preserve">Clinical safety context gap</t>
  </si>
  <si>
    <t xml:space="preserve">Traceability gap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</si>
</sst>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0D7680"/>
        <bgColor rgb="FF1A7A4A"/>
      </patternFill>
    </fill>
    <fill>
      <patternFill patternType="solid">
        <fgColor rgb="FFF2F4F7"/>
        <bgColor rgb="FFFFFFFF"/>
      </patternFill>
    </fill>
    <fill>
      <patternFill patternType="solid">
        <fgColor rgb="FFFF0000"/>
        <bgColor rgb="FFC0392B"/>
      </patternFill>
    </fill>
    <fill>
      <patternFill patternType="solid">
        <fgColor rgb="FFFFFFFF"/>
        <bgColor rgb="FFF2F4F7"/>
      </patternFill>
    </fill>
    <fill>
      <patternFill patternType="solid">
        <fgColor rgb="FFFF8C00"/>
        <bgColor rgb="FFF39C12"/>
      </patternFill>
    </fill>
    <fill>
      <patternFill patternType="solid">
        <fgColor rgb="FF228B22"/>
        <bgColor rgb="FF1A7A4A"/>
      </patternFill>
    </fill>
    <fill>
      <patternFill patternType="solid">
        <fgColor rgb="FFC0392B"/>
        <bgColor rgb="FF993366"/>
      </patternFill>
    </fill>
    <fill>
      <patternFill patternType="solid">
        <fgColor rgb="FFF39C12"/>
        <bgColor rgb="FFFF8C00"/>
      </patternFill>
    </fill>
    <fill>
      <patternFill patternType="solid">
        <fgColor rgb="FF1A7A4A"/>
        <bgColor rgb="FF228B22"/>
      </patternFill>
    </fill>
    <fill>
      <patternFill patternType="solid">
        <fgColor rgb="FFD5F5E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2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2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4F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28B22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8C00"/>
          <bgColor rgb="FF000000"/>
        </patternFill>
      </fill>
    </dxf>
    <dxf>
      <fill>
        <patternFill patternType="solid">
          <fgColor rgb="FF0D7680"/>
          <bgColor rgb="FF000000"/>
        </patternFill>
      </fill>
    </dxf>
    <dxf>
      <fill>
        <patternFill patternType="solid">
          <fgColor rgb="FFD5F5E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28B22"/>
      <rgbColor rgb="FF000080"/>
      <rgbColor rgb="FF808000"/>
      <rgbColor rgb="FF800080"/>
      <rgbColor rgb="FF0D7680"/>
      <rgbColor rgb="FFCCCCCC"/>
      <rgbColor rgb="FF808080"/>
      <rgbColor rgb="FF9999FF"/>
      <rgbColor rgb="FF993366"/>
      <rgbColor rgb="FFF2F4F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1A7A4A"/>
      <rgbColor rgb="FF0000FF"/>
      <rgbColor rgb="FF00CCFF"/>
      <rgbColor rgb="FFCCFFFF"/>
      <rgbColor rgb="FFD5F5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39C12"/>
      <rgbColor rgb="FFFF8C00"/>
      <rgbColor rgb="FF666699"/>
      <rgbColor rgb="FF969696"/>
      <rgbColor rgb="FF003366"/>
      <rgbColor rgb="FF339966"/>
      <rgbColor rgb="FF003300"/>
      <rgbColor rgb="FF333300"/>
      <rgbColor rgb="FFC0392B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8"/>
    <col collapsed="false" customWidth="true" hidden="false" outlineLevel="0" max="3" min="3" style="0" width="42"/>
    <col collapsed="false" customWidth="true" hidden="false" outlineLevel="0" max="4" min="4" style="0" width="20"/>
    <col collapsed="false" customWidth="true" hidden="false" outlineLevel="0" max="5" min="5" style="0" width="30"/>
    <col collapsed="false" customWidth="true" hidden="false" outlineLevel="0" max="8" min="6" style="0" width="10"/>
    <col collapsed="false" customWidth="true" hidden="false" outlineLevel="0" max="9" min="9" style="0" width="7"/>
    <col collapsed="false" customWidth="true" hidden="false" outlineLevel="0" max="10" min="10" style="0" width="36"/>
    <col collapsed="false" customWidth="true" hidden="false" outlineLevel="0" max="11" min="11" style="0" width="18"/>
    <col collapsed="false" customWidth="true" hidden="false" outlineLevel="0" max="12" min="12" style="0" width="16"/>
    <col collapsed="false" customWidth="true" hidden="false" outlineLevel="0" max="13" min="13" style="0" width="12"/>
    <col collapsed="false" customWidth="true" hidden="false" outlineLevel="0" max="14" min="14" style="0" width="22"/>
    <col collapsed="false" customWidth="true" hidden="false" outlineLevel="0" max="15" min="15" style="0" width="16"/>
    <col collapsed="false" customWidth="true" hidden="false" outlineLevel="0" max="16" min="16" style="0" width="22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36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</row>
    <row r="4" customFormat="false" ht="51.75" hidden="false" customHeight="true" outlineLevel="0" collapsed="false">
      <c r="A4" s="4" t="s">
        <v>18</v>
      </c>
      <c r="B4" s="4" t="s">
        <v>19</v>
      </c>
      <c r="C4" s="4" t="s">
        <v>20</v>
      </c>
      <c r="D4" s="4" t="s">
        <v>21</v>
      </c>
      <c r="E4" s="4" t="s">
        <v>22</v>
      </c>
      <c r="F4" s="4" t="n">
        <v>4</v>
      </c>
      <c r="G4" s="4" t="n">
        <v>5</v>
      </c>
      <c r="H4" s="5" t="n">
        <f aca="false">F4*G4</f>
        <v>20</v>
      </c>
      <c r="I4" s="6" t="s">
        <v>23</v>
      </c>
      <c r="J4" s="4" t="s">
        <v>24</v>
      </c>
      <c r="K4" s="4" t="s">
        <v>25</v>
      </c>
      <c r="L4" s="4" t="s">
        <v>26</v>
      </c>
      <c r="M4" s="4" t="s">
        <v>27</v>
      </c>
      <c r="N4" s="4" t="s">
        <v>28</v>
      </c>
      <c r="O4" s="4" t="s">
        <v>29</v>
      </c>
      <c r="P4" s="4" t="s">
        <v>30</v>
      </c>
    </row>
    <row r="5" customFormat="false" ht="51.75" hidden="false" customHeight="true" outlineLevel="0" collapsed="false">
      <c r="A5" s="7" t="s">
        <v>31</v>
      </c>
      <c r="B5" s="7" t="s">
        <v>32</v>
      </c>
      <c r="C5" s="7" t="s">
        <v>33</v>
      </c>
      <c r="D5" s="7" t="s">
        <v>34</v>
      </c>
      <c r="E5" s="7" t="s">
        <v>35</v>
      </c>
      <c r="F5" s="7" t="n">
        <v>4</v>
      </c>
      <c r="G5" s="7" t="n">
        <v>4</v>
      </c>
      <c r="H5" s="8" t="n">
        <f aca="false">F5*G5</f>
        <v>16</v>
      </c>
      <c r="I5" s="6" t="s">
        <v>23</v>
      </c>
      <c r="J5" s="7" t="s">
        <v>36</v>
      </c>
      <c r="K5" s="7" t="s">
        <v>37</v>
      </c>
      <c r="L5" s="7" t="s">
        <v>38</v>
      </c>
      <c r="M5" s="7" t="s">
        <v>27</v>
      </c>
      <c r="N5" s="7" t="s">
        <v>39</v>
      </c>
      <c r="O5" s="7" t="s">
        <v>40</v>
      </c>
      <c r="P5" s="7" t="s">
        <v>41</v>
      </c>
    </row>
    <row r="6" customFormat="false" ht="51.75" hidden="false" customHeight="true" outlineLevel="0" collapsed="false">
      <c r="A6" s="4" t="s">
        <v>42</v>
      </c>
      <c r="B6" s="4" t="s">
        <v>43</v>
      </c>
      <c r="C6" s="4" t="s">
        <v>44</v>
      </c>
      <c r="D6" s="4" t="s">
        <v>45</v>
      </c>
      <c r="E6" s="4" t="s">
        <v>46</v>
      </c>
      <c r="F6" s="4" t="n">
        <v>3</v>
      </c>
      <c r="G6" s="4" t="n">
        <v>4</v>
      </c>
      <c r="H6" s="5" t="n">
        <f aca="false">F6*G6</f>
        <v>12</v>
      </c>
      <c r="I6" s="9" t="s">
        <v>47</v>
      </c>
      <c r="J6" s="4" t="s">
        <v>48</v>
      </c>
      <c r="K6" s="4" t="s">
        <v>49</v>
      </c>
      <c r="L6" s="4" t="s">
        <v>50</v>
      </c>
      <c r="M6" s="4" t="s">
        <v>27</v>
      </c>
      <c r="N6" s="4" t="s">
        <v>51</v>
      </c>
      <c r="O6" s="4" t="s">
        <v>52</v>
      </c>
      <c r="P6" s="4" t="s">
        <v>53</v>
      </c>
    </row>
    <row r="7" customFormat="false" ht="51.75" hidden="false" customHeight="true" outlineLevel="0" collapsed="false">
      <c r="A7" s="7" t="s">
        <v>54</v>
      </c>
      <c r="B7" s="7" t="s">
        <v>55</v>
      </c>
      <c r="C7" s="7" t="s">
        <v>56</v>
      </c>
      <c r="D7" s="7" t="s">
        <v>57</v>
      </c>
      <c r="E7" s="7" t="s">
        <v>58</v>
      </c>
      <c r="F7" s="7" t="n">
        <v>3</v>
      </c>
      <c r="G7" s="7" t="n">
        <v>5</v>
      </c>
      <c r="H7" s="8" t="n">
        <f aca="false">F7*G7</f>
        <v>15</v>
      </c>
      <c r="I7" s="9" t="s">
        <v>47</v>
      </c>
      <c r="J7" s="7" t="s">
        <v>59</v>
      </c>
      <c r="K7" s="7" t="s">
        <v>60</v>
      </c>
      <c r="L7" s="7" t="s">
        <v>26</v>
      </c>
      <c r="M7" s="7" t="s">
        <v>27</v>
      </c>
      <c r="N7" s="7" t="s">
        <v>61</v>
      </c>
      <c r="O7" s="7" t="s">
        <v>62</v>
      </c>
      <c r="P7" s="7" t="s">
        <v>63</v>
      </c>
    </row>
    <row r="8" customFormat="false" ht="51.75" hidden="false" customHeight="true" outlineLevel="0" collapsed="false">
      <c r="A8" s="4" t="s">
        <v>64</v>
      </c>
      <c r="B8" s="4" t="s">
        <v>65</v>
      </c>
      <c r="C8" s="4" t="s">
        <v>66</v>
      </c>
      <c r="D8" s="4" t="s">
        <v>67</v>
      </c>
      <c r="E8" s="4" t="s">
        <v>68</v>
      </c>
      <c r="F8" s="4" t="n">
        <v>4</v>
      </c>
      <c r="G8" s="4" t="n">
        <v>4</v>
      </c>
      <c r="H8" s="5" t="n">
        <f aca="false">F8*G8</f>
        <v>16</v>
      </c>
      <c r="I8" s="6" t="s">
        <v>23</v>
      </c>
      <c r="J8" s="4" t="s">
        <v>69</v>
      </c>
      <c r="K8" s="4" t="s">
        <v>70</v>
      </c>
      <c r="L8" s="4" t="s">
        <v>38</v>
      </c>
      <c r="M8" s="4" t="s">
        <v>27</v>
      </c>
      <c r="N8" s="4" t="s">
        <v>71</v>
      </c>
      <c r="O8" s="4" t="s">
        <v>52</v>
      </c>
      <c r="P8" s="4" t="s">
        <v>72</v>
      </c>
    </row>
    <row r="9" customFormat="false" ht="51.75" hidden="false" customHeight="true" outlineLevel="0" collapsed="false">
      <c r="A9" s="7" t="s">
        <v>73</v>
      </c>
      <c r="B9" s="7" t="s">
        <v>74</v>
      </c>
      <c r="C9" s="7" t="s">
        <v>75</v>
      </c>
      <c r="D9" s="7" t="s">
        <v>76</v>
      </c>
      <c r="E9" s="7" t="s">
        <v>77</v>
      </c>
      <c r="F9" s="7" t="n">
        <v>5</v>
      </c>
      <c r="G9" s="7" t="n">
        <v>5</v>
      </c>
      <c r="H9" s="8" t="n">
        <f aca="false">F9*G9</f>
        <v>25</v>
      </c>
      <c r="I9" s="6" t="s">
        <v>23</v>
      </c>
      <c r="J9" s="7" t="s">
        <v>78</v>
      </c>
      <c r="K9" s="7" t="s">
        <v>79</v>
      </c>
      <c r="L9" s="7" t="s">
        <v>80</v>
      </c>
      <c r="M9" s="7" t="s">
        <v>27</v>
      </c>
      <c r="N9" s="7" t="s">
        <v>81</v>
      </c>
      <c r="O9" s="7" t="s">
        <v>82</v>
      </c>
      <c r="P9" s="7" t="s">
        <v>83</v>
      </c>
    </row>
    <row r="10" customFormat="false" ht="51.75" hidden="false" customHeight="true" outlineLevel="0" collapsed="false">
      <c r="A10" s="4" t="s">
        <v>84</v>
      </c>
      <c r="B10" s="4" t="s">
        <v>85</v>
      </c>
      <c r="C10" s="4" t="s">
        <v>86</v>
      </c>
      <c r="D10" s="4" t="s">
        <v>87</v>
      </c>
      <c r="E10" s="4" t="s">
        <v>88</v>
      </c>
      <c r="F10" s="4" t="n">
        <v>3</v>
      </c>
      <c r="G10" s="4" t="n">
        <v>4</v>
      </c>
      <c r="H10" s="5" t="n">
        <f aca="false">F10*G10</f>
        <v>12</v>
      </c>
      <c r="I10" s="9" t="s">
        <v>47</v>
      </c>
      <c r="J10" s="4" t="s">
        <v>89</v>
      </c>
      <c r="K10" s="4" t="s">
        <v>90</v>
      </c>
      <c r="L10" s="4" t="s">
        <v>38</v>
      </c>
      <c r="M10" s="4" t="s">
        <v>27</v>
      </c>
      <c r="N10" s="4" t="s">
        <v>91</v>
      </c>
      <c r="O10" s="4" t="s">
        <v>52</v>
      </c>
      <c r="P10" s="4" t="s">
        <v>92</v>
      </c>
    </row>
    <row r="11" customFormat="false" ht="51.75" hidden="false" customHeight="true" outlineLevel="0" collapsed="false">
      <c r="A11" s="7" t="s">
        <v>93</v>
      </c>
      <c r="B11" s="7" t="s">
        <v>94</v>
      </c>
      <c r="C11" s="7" t="s">
        <v>95</v>
      </c>
      <c r="D11" s="7" t="s">
        <v>96</v>
      </c>
      <c r="E11" s="7" t="s">
        <v>97</v>
      </c>
      <c r="F11" s="7" t="n">
        <v>2</v>
      </c>
      <c r="G11" s="7" t="n">
        <v>5</v>
      </c>
      <c r="H11" s="8" t="n">
        <f aca="false">F11*G11</f>
        <v>10</v>
      </c>
      <c r="I11" s="9" t="s">
        <v>47</v>
      </c>
      <c r="J11" s="7" t="s">
        <v>98</v>
      </c>
      <c r="K11" s="7" t="s">
        <v>99</v>
      </c>
      <c r="L11" s="7" t="s">
        <v>26</v>
      </c>
      <c r="M11" s="7" t="s">
        <v>27</v>
      </c>
      <c r="N11" s="7" t="s">
        <v>100</v>
      </c>
      <c r="O11" s="7" t="s">
        <v>101</v>
      </c>
      <c r="P11" s="7" t="s">
        <v>102</v>
      </c>
    </row>
    <row r="12" customFormat="false" ht="51.75" hidden="false" customHeight="true" outlineLevel="0" collapsed="false">
      <c r="A12" s="4" t="s">
        <v>103</v>
      </c>
      <c r="B12" s="4" t="s">
        <v>104</v>
      </c>
      <c r="C12" s="4" t="s">
        <v>105</v>
      </c>
      <c r="D12" s="4" t="s">
        <v>106</v>
      </c>
      <c r="E12" s="4" t="s">
        <v>107</v>
      </c>
      <c r="F12" s="4" t="n">
        <v>2</v>
      </c>
      <c r="G12" s="4" t="n">
        <v>5</v>
      </c>
      <c r="H12" s="5" t="n">
        <f aca="false">F12*G12</f>
        <v>10</v>
      </c>
      <c r="I12" s="9" t="s">
        <v>47</v>
      </c>
      <c r="J12" s="4" t="s">
        <v>108</v>
      </c>
      <c r="K12" s="4" t="s">
        <v>109</v>
      </c>
      <c r="L12" s="4" t="s">
        <v>26</v>
      </c>
      <c r="M12" s="4" t="s">
        <v>27</v>
      </c>
      <c r="N12" s="4" t="s">
        <v>110</v>
      </c>
      <c r="O12" s="4" t="s">
        <v>111</v>
      </c>
      <c r="P12" s="4" t="s">
        <v>112</v>
      </c>
    </row>
    <row r="13" customFormat="false" ht="51.75" hidden="false" customHeight="true" outlineLevel="0" collapsed="false">
      <c r="A13" s="7" t="s">
        <v>113</v>
      </c>
      <c r="B13" s="7" t="s">
        <v>114</v>
      </c>
      <c r="C13" s="7" t="s">
        <v>115</v>
      </c>
      <c r="D13" s="7" t="s">
        <v>116</v>
      </c>
      <c r="E13" s="7" t="s">
        <v>117</v>
      </c>
      <c r="F13" s="7" t="n">
        <v>3</v>
      </c>
      <c r="G13" s="7" t="n">
        <v>4</v>
      </c>
      <c r="H13" s="8" t="n">
        <f aca="false">F13*G13</f>
        <v>12</v>
      </c>
      <c r="I13" s="9" t="s">
        <v>47</v>
      </c>
      <c r="J13" s="7" t="s">
        <v>118</v>
      </c>
      <c r="K13" s="7" t="s">
        <v>119</v>
      </c>
      <c r="L13" s="7" t="s">
        <v>50</v>
      </c>
      <c r="M13" s="7" t="s">
        <v>27</v>
      </c>
      <c r="N13" s="7" t="s">
        <v>120</v>
      </c>
      <c r="O13" s="7" t="s">
        <v>52</v>
      </c>
      <c r="P13" s="7" t="s">
        <v>121</v>
      </c>
    </row>
    <row r="14" customFormat="false" ht="51.75" hidden="false" customHeight="true" outlineLevel="0" collapsed="false">
      <c r="A14" s="4" t="s">
        <v>122</v>
      </c>
      <c r="B14" s="4" t="s">
        <v>123</v>
      </c>
      <c r="C14" s="4" t="s">
        <v>124</v>
      </c>
      <c r="D14" s="4" t="s">
        <v>125</v>
      </c>
      <c r="E14" s="4" t="s">
        <v>126</v>
      </c>
      <c r="F14" s="4" t="n">
        <v>4</v>
      </c>
      <c r="G14" s="4" t="n">
        <v>3</v>
      </c>
      <c r="H14" s="5" t="n">
        <f aca="false">F14*G14</f>
        <v>12</v>
      </c>
      <c r="I14" s="9" t="s">
        <v>47</v>
      </c>
      <c r="J14" s="4" t="s">
        <v>127</v>
      </c>
      <c r="K14" s="4" t="s">
        <v>128</v>
      </c>
      <c r="L14" s="4" t="s">
        <v>50</v>
      </c>
      <c r="M14" s="4" t="s">
        <v>27</v>
      </c>
      <c r="N14" s="4" t="s">
        <v>129</v>
      </c>
      <c r="O14" s="4" t="s">
        <v>52</v>
      </c>
      <c r="P14" s="4" t="s">
        <v>130</v>
      </c>
    </row>
    <row r="15" customFormat="false" ht="51.75" hidden="false" customHeight="true" outlineLevel="0" collapsed="false">
      <c r="A15" s="7" t="s">
        <v>131</v>
      </c>
      <c r="B15" s="7" t="s">
        <v>132</v>
      </c>
      <c r="C15" s="7" t="s">
        <v>133</v>
      </c>
      <c r="D15" s="7" t="s">
        <v>134</v>
      </c>
      <c r="E15" s="7" t="s">
        <v>135</v>
      </c>
      <c r="F15" s="7" t="n">
        <v>2</v>
      </c>
      <c r="G15" s="7" t="n">
        <v>4</v>
      </c>
      <c r="H15" s="8" t="n">
        <f aca="false">F15*G15</f>
        <v>8</v>
      </c>
      <c r="I15" s="10" t="s">
        <v>136</v>
      </c>
      <c r="J15" s="7" t="s">
        <v>137</v>
      </c>
      <c r="K15" s="7" t="s">
        <v>99</v>
      </c>
      <c r="L15" s="7" t="s">
        <v>38</v>
      </c>
      <c r="M15" s="7" t="s">
        <v>27</v>
      </c>
      <c r="N15" s="7" t="s">
        <v>138</v>
      </c>
      <c r="O15" s="7" t="s">
        <v>52</v>
      </c>
      <c r="P15" s="7" t="s">
        <v>139</v>
      </c>
    </row>
    <row r="16" customFormat="false" ht="51.75" hidden="false" customHeight="true" outlineLevel="0" collapsed="false">
      <c r="A16" s="4" t="s">
        <v>140</v>
      </c>
      <c r="B16" s="4" t="s">
        <v>141</v>
      </c>
      <c r="C16" s="4" t="s">
        <v>142</v>
      </c>
      <c r="D16" s="4" t="s">
        <v>143</v>
      </c>
      <c r="E16" s="4" t="s">
        <v>144</v>
      </c>
      <c r="F16" s="4" t="n">
        <v>2</v>
      </c>
      <c r="G16" s="4" t="n">
        <v>5</v>
      </c>
      <c r="H16" s="5" t="n">
        <f aca="false">F16*G16</f>
        <v>10</v>
      </c>
      <c r="I16" s="9" t="s">
        <v>47</v>
      </c>
      <c r="J16" s="4" t="s">
        <v>145</v>
      </c>
      <c r="K16" s="4" t="s">
        <v>146</v>
      </c>
      <c r="L16" s="4" t="s">
        <v>26</v>
      </c>
      <c r="M16" s="4" t="s">
        <v>27</v>
      </c>
      <c r="N16" s="4" t="s">
        <v>147</v>
      </c>
      <c r="O16" s="4" t="s">
        <v>148</v>
      </c>
      <c r="P16" s="4" t="s">
        <v>149</v>
      </c>
    </row>
    <row r="17" customFormat="false" ht="51.75" hidden="false" customHeight="true" outlineLevel="0" collapsed="false">
      <c r="A17" s="7" t="s">
        <v>150</v>
      </c>
      <c r="B17" s="7" t="s">
        <v>151</v>
      </c>
      <c r="C17" s="7" t="s">
        <v>152</v>
      </c>
      <c r="D17" s="7" t="s">
        <v>153</v>
      </c>
      <c r="E17" s="7" t="s">
        <v>154</v>
      </c>
      <c r="F17" s="7" t="n">
        <v>3</v>
      </c>
      <c r="G17" s="7" t="n">
        <v>3</v>
      </c>
      <c r="H17" s="8" t="n">
        <f aca="false">F17*G17</f>
        <v>9</v>
      </c>
      <c r="I17" s="9" t="s">
        <v>47</v>
      </c>
      <c r="J17" s="7" t="s">
        <v>155</v>
      </c>
      <c r="K17" s="7" t="s">
        <v>156</v>
      </c>
      <c r="L17" s="7" t="s">
        <v>80</v>
      </c>
      <c r="M17" s="7" t="s">
        <v>27</v>
      </c>
      <c r="N17" s="7" t="s">
        <v>157</v>
      </c>
      <c r="O17" s="7" t="s">
        <v>158</v>
      </c>
      <c r="P17" s="7" t="s">
        <v>159</v>
      </c>
    </row>
    <row r="18" customFormat="false" ht="51.75" hidden="false" customHeight="true" outlineLevel="0" collapsed="false">
      <c r="A18" s="4" t="s">
        <v>160</v>
      </c>
      <c r="B18" s="4" t="s">
        <v>161</v>
      </c>
      <c r="C18" s="4" t="s">
        <v>162</v>
      </c>
      <c r="D18" s="4" t="s">
        <v>125</v>
      </c>
      <c r="E18" s="4" t="s">
        <v>163</v>
      </c>
      <c r="F18" s="4" t="n">
        <v>2</v>
      </c>
      <c r="G18" s="4" t="n">
        <v>3</v>
      </c>
      <c r="H18" s="5" t="n">
        <f aca="false">F18*G18</f>
        <v>6</v>
      </c>
      <c r="I18" s="10" t="s">
        <v>136</v>
      </c>
      <c r="J18" s="4" t="s">
        <v>164</v>
      </c>
      <c r="K18" s="4" t="s">
        <v>165</v>
      </c>
      <c r="L18" s="4" t="s">
        <v>50</v>
      </c>
      <c r="M18" s="4" t="s">
        <v>27</v>
      </c>
      <c r="N18" s="4" t="s">
        <v>166</v>
      </c>
      <c r="O18" s="4" t="s">
        <v>52</v>
      </c>
      <c r="P18" s="4" t="s">
        <v>167</v>
      </c>
    </row>
    <row r="19" customFormat="false" ht="51.75" hidden="false" customHeight="true" outlineLevel="0" collapsed="false">
      <c r="A19" s="7" t="s">
        <v>168</v>
      </c>
      <c r="B19" s="7" t="s">
        <v>169</v>
      </c>
      <c r="C19" s="7" t="s">
        <v>170</v>
      </c>
      <c r="D19" s="7" t="s">
        <v>171</v>
      </c>
      <c r="E19" s="7" t="s">
        <v>172</v>
      </c>
      <c r="F19" s="7" t="n">
        <v>5</v>
      </c>
      <c r="G19" s="7" t="n">
        <v>4</v>
      </c>
      <c r="H19" s="8" t="n">
        <f aca="false">F19*G19</f>
        <v>20</v>
      </c>
      <c r="I19" s="6" t="s">
        <v>23</v>
      </c>
      <c r="J19" s="7" t="s">
        <v>173</v>
      </c>
      <c r="K19" s="7" t="s">
        <v>174</v>
      </c>
      <c r="L19" s="7" t="s">
        <v>50</v>
      </c>
      <c r="M19" s="7" t="s">
        <v>27</v>
      </c>
      <c r="N19" s="7" t="s">
        <v>175</v>
      </c>
      <c r="O19" s="7" t="s">
        <v>52</v>
      </c>
      <c r="P19" s="7" t="s">
        <v>176</v>
      </c>
    </row>
    <row r="20" customFormat="false" ht="51.75" hidden="false" customHeight="true" outlineLevel="0" collapsed="false">
      <c r="A20" s="4" t="s">
        <v>177</v>
      </c>
      <c r="B20" s="4" t="s">
        <v>178</v>
      </c>
      <c r="C20" s="4" t="s">
        <v>179</v>
      </c>
      <c r="D20" s="4" t="s">
        <v>180</v>
      </c>
      <c r="E20" s="4" t="s">
        <v>181</v>
      </c>
      <c r="F20" s="4" t="n">
        <v>3</v>
      </c>
      <c r="G20" s="4" t="n">
        <v>3</v>
      </c>
      <c r="H20" s="5" t="n">
        <f aca="false">F20*G20</f>
        <v>9</v>
      </c>
      <c r="I20" s="9" t="s">
        <v>47</v>
      </c>
      <c r="J20" s="4" t="s">
        <v>182</v>
      </c>
      <c r="K20" s="4" t="s">
        <v>183</v>
      </c>
      <c r="L20" s="4" t="s">
        <v>80</v>
      </c>
      <c r="M20" s="4" t="s">
        <v>27</v>
      </c>
      <c r="N20" s="4" t="s">
        <v>184</v>
      </c>
      <c r="O20" s="4" t="s">
        <v>52</v>
      </c>
      <c r="P20" s="4" t="s">
        <v>185</v>
      </c>
    </row>
    <row r="21" customFormat="false" ht="51.75" hidden="false" customHeight="true" outlineLevel="0" collapsed="false">
      <c r="A21" s="7" t="s">
        <v>186</v>
      </c>
      <c r="B21" s="7" t="s">
        <v>187</v>
      </c>
      <c r="C21" s="7" t="s">
        <v>188</v>
      </c>
      <c r="D21" s="7" t="s">
        <v>189</v>
      </c>
      <c r="E21" s="7" t="s">
        <v>190</v>
      </c>
      <c r="F21" s="7" t="n">
        <v>4</v>
      </c>
      <c r="G21" s="7" t="n">
        <v>3</v>
      </c>
      <c r="H21" s="8" t="n">
        <f aca="false">F21*G21</f>
        <v>12</v>
      </c>
      <c r="I21" s="9" t="s">
        <v>47</v>
      </c>
      <c r="J21" s="7" t="s">
        <v>191</v>
      </c>
      <c r="K21" s="7" t="s">
        <v>192</v>
      </c>
      <c r="L21" s="7" t="s">
        <v>50</v>
      </c>
      <c r="M21" s="7" t="s">
        <v>27</v>
      </c>
      <c r="N21" s="7" t="s">
        <v>193</v>
      </c>
      <c r="O21" s="7" t="s">
        <v>52</v>
      </c>
      <c r="P21" s="7" t="s">
        <v>194</v>
      </c>
    </row>
    <row r="22" customFormat="false" ht="51.75" hidden="false" customHeight="true" outlineLevel="0" collapsed="false">
      <c r="A22" s="4" t="s">
        <v>195</v>
      </c>
      <c r="B22" s="4" t="s">
        <v>196</v>
      </c>
      <c r="C22" s="4" t="s">
        <v>197</v>
      </c>
      <c r="D22" s="4" t="s">
        <v>67</v>
      </c>
      <c r="E22" s="4" t="s">
        <v>198</v>
      </c>
      <c r="F22" s="4" t="n">
        <v>2</v>
      </c>
      <c r="G22" s="4" t="n">
        <v>4</v>
      </c>
      <c r="H22" s="5" t="n">
        <f aca="false">F22*G22</f>
        <v>8</v>
      </c>
      <c r="I22" s="10" t="s">
        <v>136</v>
      </c>
      <c r="J22" s="4" t="s">
        <v>199</v>
      </c>
      <c r="K22" s="4" t="s">
        <v>200</v>
      </c>
      <c r="L22" s="4" t="s">
        <v>80</v>
      </c>
      <c r="M22" s="4" t="s">
        <v>27</v>
      </c>
      <c r="N22" s="4" t="s">
        <v>201</v>
      </c>
      <c r="O22" s="4" t="s">
        <v>52</v>
      </c>
      <c r="P22" s="4" t="s">
        <v>202</v>
      </c>
    </row>
    <row r="23" customFormat="false" ht="51.75" hidden="false" customHeight="true" outlineLevel="0" collapsed="false">
      <c r="A23" s="7" t="s">
        <v>203</v>
      </c>
      <c r="B23" s="7" t="s">
        <v>204</v>
      </c>
      <c r="C23" s="7" t="s">
        <v>205</v>
      </c>
      <c r="D23" s="7" t="s">
        <v>206</v>
      </c>
      <c r="E23" s="7" t="s">
        <v>207</v>
      </c>
      <c r="F23" s="7" t="n">
        <v>3</v>
      </c>
      <c r="G23" s="7" t="n">
        <v>5</v>
      </c>
      <c r="H23" s="8" t="n">
        <f aca="false">F23*G23</f>
        <v>15</v>
      </c>
      <c r="I23" s="9" t="s">
        <v>47</v>
      </c>
      <c r="J23" s="7" t="s">
        <v>208</v>
      </c>
      <c r="K23" s="7" t="s">
        <v>209</v>
      </c>
      <c r="L23" s="7" t="s">
        <v>80</v>
      </c>
      <c r="M23" s="7" t="s">
        <v>27</v>
      </c>
      <c r="N23" s="7" t="s">
        <v>210</v>
      </c>
      <c r="O23" s="7" t="s">
        <v>211</v>
      </c>
      <c r="P23" s="7" t="s">
        <v>212</v>
      </c>
    </row>
    <row r="24" customFormat="false" ht="51.75" hidden="false" customHeight="true" outlineLevel="0" collapsed="false">
      <c r="A24" s="4" t="s">
        <v>213</v>
      </c>
      <c r="B24" s="4" t="s">
        <v>214</v>
      </c>
      <c r="C24" s="4" t="s">
        <v>215</v>
      </c>
      <c r="D24" s="4" t="s">
        <v>216</v>
      </c>
      <c r="E24" s="4" t="s">
        <v>217</v>
      </c>
      <c r="F24" s="4" t="n">
        <v>2</v>
      </c>
      <c r="G24" s="4" t="n">
        <v>5</v>
      </c>
      <c r="H24" s="5" t="n">
        <f aca="false">F24*G24</f>
        <v>10</v>
      </c>
      <c r="I24" s="9" t="s">
        <v>47</v>
      </c>
      <c r="J24" s="4" t="s">
        <v>218</v>
      </c>
      <c r="K24" s="4" t="s">
        <v>219</v>
      </c>
      <c r="L24" s="4" t="s">
        <v>26</v>
      </c>
      <c r="M24" s="4" t="s">
        <v>27</v>
      </c>
      <c r="N24" s="4" t="s">
        <v>220</v>
      </c>
      <c r="O24" s="4" t="s">
        <v>221</v>
      </c>
      <c r="P24" s="4" t="s">
        <v>222</v>
      </c>
    </row>
    <row r="25" customFormat="false" ht="51.75" hidden="false" customHeight="true" outlineLevel="0" collapsed="false">
      <c r="A25" s="7" t="s">
        <v>223</v>
      </c>
      <c r="B25" s="7" t="s">
        <v>224</v>
      </c>
      <c r="C25" s="7" t="s">
        <v>225</v>
      </c>
      <c r="D25" s="7" t="s">
        <v>226</v>
      </c>
      <c r="E25" s="7" t="s">
        <v>227</v>
      </c>
      <c r="F25" s="7" t="n">
        <v>3</v>
      </c>
      <c r="G25" s="7" t="n">
        <v>4</v>
      </c>
      <c r="H25" s="8" t="n">
        <f aca="false">F25*G25</f>
        <v>12</v>
      </c>
      <c r="I25" s="9" t="s">
        <v>47</v>
      </c>
      <c r="J25" s="7" t="s">
        <v>228</v>
      </c>
      <c r="K25" s="7" t="s">
        <v>229</v>
      </c>
      <c r="L25" s="7" t="s">
        <v>80</v>
      </c>
      <c r="M25" s="7" t="s">
        <v>27</v>
      </c>
      <c r="N25" s="7" t="s">
        <v>230</v>
      </c>
      <c r="O25" s="7" t="s">
        <v>231</v>
      </c>
      <c r="P25" s="7" t="s">
        <v>232</v>
      </c>
    </row>
  </sheetData>
  <autoFilter ref="A3:P25"/>
  <mergeCells count="2">
    <mergeCell ref="A1:P1"/>
    <mergeCell ref="A2:P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3" min="3" style="0" width="4"/>
    <col collapsed="false" customWidth="true" hidden="false" outlineLevel="0" max="4" min="4" style="0" width="32"/>
    <col collapsed="false" customWidth="true" hidden="false" outlineLevel="0" max="5" min="5" style="0" width="10"/>
  </cols>
  <sheetData>
    <row r="1" customFormat="false" ht="30" hidden="false" customHeight="true" outlineLevel="0" collapsed="false">
      <c r="A1" s="11" t="s">
        <v>233</v>
      </c>
      <c r="B1" s="11"/>
      <c r="C1" s="11"/>
      <c r="D1" s="11"/>
      <c r="E1" s="11"/>
      <c r="F1" s="11"/>
    </row>
    <row r="3" customFormat="false" ht="15" hidden="false" customHeight="false" outlineLevel="0" collapsed="false">
      <c r="A3" s="12" t="s">
        <v>234</v>
      </c>
      <c r="B3" s="12"/>
      <c r="D3" s="13" t="s">
        <v>235</v>
      </c>
      <c r="E3" s="13" t="s">
        <v>236</v>
      </c>
    </row>
    <row r="4" customFormat="false" ht="18" hidden="false" customHeight="true" outlineLevel="0" collapsed="false">
      <c r="A4" s="14" t="s">
        <v>237</v>
      </c>
      <c r="B4" s="15" t="n">
        <f aca="false">COUNTIF('Risk Register'!I4:I25,"HIGH")</f>
        <v>5</v>
      </c>
      <c r="D4" s="16" t="s">
        <v>132</v>
      </c>
      <c r="E4" s="14" t="n">
        <f aca="false">COUNTIF('Risk Register'!B4:B25,"API Compatibility")</f>
        <v>1</v>
      </c>
    </row>
    <row r="5" customFormat="false" ht="18" hidden="false" customHeight="true" outlineLevel="0" collapsed="false">
      <c r="A5" s="14" t="s">
        <v>238</v>
      </c>
      <c r="B5" s="17" t="n">
        <f aca="false">COUNTIF('Risk Register'!I4:I25,"MED")</f>
        <v>14</v>
      </c>
      <c r="D5" s="16" t="s">
        <v>151</v>
      </c>
      <c r="E5" s="14" t="n">
        <f aca="false">COUNTIF('Risk Register'!B4:B25,"Accessibility")</f>
        <v>1</v>
      </c>
    </row>
    <row r="6" customFormat="false" ht="18" hidden="false" customHeight="true" outlineLevel="0" collapsed="false">
      <c r="A6" s="14" t="s">
        <v>239</v>
      </c>
      <c r="B6" s="18" t="n">
        <f aca="false">COUNTIF('Risk Register'!I4:I25,"LOW")</f>
        <v>3</v>
      </c>
      <c r="D6" s="16" t="s">
        <v>169</v>
      </c>
      <c r="E6" s="14" t="n">
        <f aca="false">COUNTIF('Risk Register'!B4:B25,"Automation Reliability")</f>
        <v>1</v>
      </c>
    </row>
    <row r="7" customFormat="false" ht="18" hidden="false" customHeight="true" outlineLevel="0" collapsed="false">
      <c r="A7" s="14" t="s">
        <v>240</v>
      </c>
      <c r="B7" s="19" t="n">
        <f aca="false">COUNTA('Risk Register'!A4:A25)</f>
        <v>22</v>
      </c>
      <c r="D7" s="16" t="s">
        <v>161</v>
      </c>
      <c r="E7" s="14" t="n">
        <f aca="false">COUNTIF('Risk Register'!B4:B25,"Browser Compatibility")</f>
        <v>1</v>
      </c>
    </row>
    <row r="8" customFormat="false" ht="18" hidden="false" customHeight="true" outlineLevel="0" collapsed="false">
      <c r="D8" s="16" t="s">
        <v>214</v>
      </c>
      <c r="E8" s="14" t="n">
        <f aca="false">COUNTIF('Risk Register'!B4:B25,"Clinical Safety Context")</f>
        <v>1</v>
      </c>
    </row>
    <row r="9" customFormat="false" ht="18" hidden="false" customHeight="true" outlineLevel="0" collapsed="false">
      <c r="D9" s="16" t="s">
        <v>55</v>
      </c>
      <c r="E9" s="14" t="n">
        <f aca="false">COUNTIF('Risk Register'!B4:B25,"Consent Handling")</f>
        <v>1</v>
      </c>
    </row>
    <row r="10" customFormat="false" ht="18" hidden="false" customHeight="true" outlineLevel="0" collapsed="false">
      <c r="D10" s="16" t="s">
        <v>94</v>
      </c>
      <c r="E10" s="14" t="n">
        <f aca="false">COUNTIF('Risk Register'!B4:B25,"Diagnostic Report Availability")</f>
        <v>1</v>
      </c>
    </row>
    <row r="11" customFormat="false" ht="18" hidden="false" customHeight="true" outlineLevel="0" collapsed="false">
      <c r="D11" s="16" t="s">
        <v>32</v>
      </c>
      <c r="E11" s="14" t="n">
        <f aca="false">COUNTIF('Risk Register'!B4:B25,"Duplicate Records")</f>
        <v>1</v>
      </c>
    </row>
    <row r="12" customFormat="false" ht="18" hidden="false" customHeight="true" outlineLevel="0" collapsed="false">
      <c r="D12" s="16" t="s">
        <v>123</v>
      </c>
      <c r="E12" s="14" t="n">
        <f aca="false">COUNTIF('Risk Register'!B4:B25,"Form Validation Inconsistency")</f>
        <v>1</v>
      </c>
    </row>
    <row r="13" customFormat="false" ht="18" hidden="false" customHeight="true" outlineLevel="0" collapsed="false">
      <c r="D13" s="16" t="s">
        <v>43</v>
      </c>
      <c r="E13" s="14" t="n">
        <f aca="false">COUNTIF('Risk Register'!B4:B25,"Incomplete Demographics")</f>
        <v>1</v>
      </c>
    </row>
    <row r="14" customFormat="false" ht="18" hidden="false" customHeight="true" outlineLevel="0" collapsed="false">
      <c r="D14" s="16" t="s">
        <v>19</v>
      </c>
      <c r="E14" s="14" t="n">
        <f aca="false">COUNTIF('Risk Register'!B4:B25,"Patient Identification")</f>
        <v>1</v>
      </c>
    </row>
    <row r="15" customFormat="false" ht="18" hidden="false" customHeight="true" outlineLevel="0" collapsed="false">
      <c r="D15" s="16" t="s">
        <v>196</v>
      </c>
      <c r="E15" s="14" t="n">
        <f aca="false">COUNTIF('Risk Register'!B4:B25,"Performance Under Load")</f>
        <v>1</v>
      </c>
    </row>
    <row r="16" customFormat="false" ht="18" hidden="false" customHeight="true" outlineLevel="0" collapsed="false">
      <c r="D16" s="16" t="s">
        <v>178</v>
      </c>
      <c r="E16" s="14" t="n">
        <f aca="false">COUNTIF('Risk Register'!B4:B25,"Public Environment Instability")</f>
        <v>1</v>
      </c>
    </row>
    <row r="17" customFormat="false" ht="18" hidden="false" customHeight="true" outlineLevel="0" collapsed="false">
      <c r="D17" s="16" t="s">
        <v>204</v>
      </c>
      <c r="E17" s="14" t="n">
        <f aca="false">COUNTIF('Risk Register'!B4:B25,"Quality Evidence Consolidation")</f>
        <v>1</v>
      </c>
    </row>
    <row r="18" customFormat="false" ht="18" hidden="false" customHeight="true" outlineLevel="0" collapsed="false">
      <c r="D18" s="16" t="s">
        <v>65</v>
      </c>
      <c r="E18" s="14" t="n">
        <f aca="false">COUNTIF('Risk Register'!B4:B25,"Referral Completeness")</f>
        <v>1</v>
      </c>
    </row>
    <row r="19" customFormat="false" ht="18" hidden="false" customHeight="true" outlineLevel="0" collapsed="false">
      <c r="D19" s="16" t="s">
        <v>114</v>
      </c>
      <c r="E19" s="14" t="n">
        <f aca="false">COUNTIF('Risk Register'!B4:B25,"Session Control")</f>
        <v>1</v>
      </c>
    </row>
    <row r="20" customFormat="false" ht="18" hidden="false" customHeight="true" outlineLevel="0" collapsed="false">
      <c r="D20" s="16" t="s">
        <v>74</v>
      </c>
      <c r="E20" s="14" t="n">
        <f aca="false">COUNTIF('Risk Register'!B4:B25,"Specimen Linkage")</f>
        <v>1</v>
      </c>
    </row>
    <row r="21" customFormat="false" ht="18" hidden="false" customHeight="true" outlineLevel="0" collapsed="false">
      <c r="D21" s="16" t="s">
        <v>141</v>
      </c>
      <c r="E21" s="14" t="n">
        <f aca="false">COUNTIF('Risk Register'!B4:B25,"Synthetic Data Protection")</f>
        <v>1</v>
      </c>
    </row>
    <row r="22" customFormat="false" ht="18" hidden="false" customHeight="true" outlineLevel="0" collapsed="false">
      <c r="D22" s="16" t="s">
        <v>187</v>
      </c>
      <c r="E22" s="14" t="n">
        <f aca="false">COUNTIF('Risk Register'!B4:B25,"Test Data Reuse")</f>
        <v>1</v>
      </c>
    </row>
    <row r="23" customFormat="false" ht="18" hidden="false" customHeight="true" outlineLevel="0" collapsed="false">
      <c r="D23" s="16" t="s">
        <v>224</v>
      </c>
      <c r="E23" s="14" t="n">
        <f aca="false">COUNTIF('Risk Register'!B4:B25,"Traceability")</f>
        <v>1</v>
      </c>
    </row>
    <row r="24" customFormat="false" ht="18" hidden="false" customHeight="true" outlineLevel="0" collapsed="false">
      <c r="D24" s="16" t="s">
        <v>104</v>
      </c>
      <c r="E24" s="14" t="n">
        <f aca="false">COUNTIF('Risk Register'!B4:B25,"Unauthorised Access")</f>
        <v>1</v>
      </c>
    </row>
    <row r="25" customFormat="false" ht="18" hidden="false" customHeight="true" outlineLevel="0" collapsed="false">
      <c r="D25" s="16" t="s">
        <v>85</v>
      </c>
      <c r="E25" s="14" t="n">
        <f aca="false">COUNTIF('Risk Register'!B4:B25,"Workflow Status Tracking")</f>
        <v>1</v>
      </c>
    </row>
  </sheetData>
  <mergeCells count="2">
    <mergeCell ref="A1:F1"/>
    <mergeCell ref="A3:B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16"/>
    <col collapsed="false" customWidth="true" hidden="false" outlineLevel="0" max="8" min="7" style="0" width="14"/>
  </cols>
  <sheetData>
    <row r="1" customFormat="false" ht="30" hidden="false" customHeight="true" outlineLevel="0" collapsed="false">
      <c r="A1" s="11" t="s">
        <v>241</v>
      </c>
      <c r="B1" s="11"/>
      <c r="C1" s="11"/>
      <c r="D1" s="11"/>
      <c r="E1" s="11"/>
      <c r="F1" s="11"/>
      <c r="G1" s="11"/>
      <c r="H1" s="11"/>
    </row>
    <row r="2" customFormat="false" ht="30" hidden="false" customHeight="true" outlineLevel="0" collapsed="false">
      <c r="A2" s="20" t="s">
        <v>2</v>
      </c>
      <c r="B2" s="20" t="s">
        <v>242</v>
      </c>
      <c r="C2" s="20" t="s">
        <v>243</v>
      </c>
      <c r="D2" s="20" t="s">
        <v>244</v>
      </c>
      <c r="E2" s="20" t="s">
        <v>245</v>
      </c>
      <c r="F2" s="20" t="s">
        <v>246</v>
      </c>
      <c r="G2" s="20" t="s">
        <v>247</v>
      </c>
      <c r="H2" s="20" t="s">
        <v>248</v>
      </c>
    </row>
    <row r="3" customFormat="false" ht="18" hidden="false" customHeight="true" outlineLevel="0" collapsed="false">
      <c r="A3" s="21" t="s">
        <v>18</v>
      </c>
      <c r="B3" s="21" t="s">
        <v>249</v>
      </c>
      <c r="C3" s="22" t="s">
        <v>250</v>
      </c>
      <c r="D3" s="23"/>
      <c r="E3" s="22" t="s">
        <v>250</v>
      </c>
      <c r="F3" s="23"/>
      <c r="G3" s="23"/>
      <c r="H3" s="23"/>
    </row>
    <row r="4" customFormat="false" ht="18" hidden="false" customHeight="true" outlineLevel="0" collapsed="false">
      <c r="A4" s="24" t="s">
        <v>31</v>
      </c>
      <c r="B4" s="24" t="s">
        <v>251</v>
      </c>
      <c r="C4" s="22" t="s">
        <v>250</v>
      </c>
      <c r="D4" s="25"/>
      <c r="E4" s="25"/>
      <c r="F4" s="22" t="s">
        <v>250</v>
      </c>
      <c r="G4" s="22" t="s">
        <v>250</v>
      </c>
      <c r="H4" s="25"/>
    </row>
    <row r="5" customFormat="false" ht="18" hidden="false" customHeight="true" outlineLevel="0" collapsed="false">
      <c r="A5" s="21" t="s">
        <v>42</v>
      </c>
      <c r="B5" s="21" t="s">
        <v>252</v>
      </c>
      <c r="C5" s="22" t="s">
        <v>250</v>
      </c>
      <c r="D5" s="22" t="s">
        <v>250</v>
      </c>
      <c r="E5" s="23"/>
      <c r="F5" s="23"/>
      <c r="G5" s="22" t="s">
        <v>250</v>
      </c>
      <c r="H5" s="23"/>
    </row>
    <row r="6" customFormat="false" ht="18" hidden="false" customHeight="true" outlineLevel="0" collapsed="false">
      <c r="A6" s="24" t="s">
        <v>54</v>
      </c>
      <c r="B6" s="24" t="s">
        <v>253</v>
      </c>
      <c r="C6" s="25"/>
      <c r="D6" s="25"/>
      <c r="E6" s="25"/>
      <c r="F6" s="22" t="s">
        <v>250</v>
      </c>
      <c r="G6" s="25"/>
      <c r="H6" s="25"/>
    </row>
    <row r="7" customFormat="false" ht="18" hidden="false" customHeight="true" outlineLevel="0" collapsed="false">
      <c r="A7" s="21" t="s">
        <v>64</v>
      </c>
      <c r="B7" s="21" t="s">
        <v>254</v>
      </c>
      <c r="C7" s="23"/>
      <c r="D7" s="23"/>
      <c r="E7" s="23"/>
      <c r="F7" s="22" t="s">
        <v>250</v>
      </c>
      <c r="G7" s="22" t="s">
        <v>250</v>
      </c>
      <c r="H7" s="23"/>
    </row>
    <row r="8" customFormat="false" ht="18" hidden="false" customHeight="true" outlineLevel="0" collapsed="false">
      <c r="A8" s="24" t="s">
        <v>73</v>
      </c>
      <c r="B8" s="24" t="s">
        <v>255</v>
      </c>
      <c r="C8" s="25"/>
      <c r="D8" s="25"/>
      <c r="E8" s="25"/>
      <c r="F8" s="22" t="s">
        <v>250</v>
      </c>
      <c r="G8" s="22" t="s">
        <v>250</v>
      </c>
      <c r="H8" s="25"/>
    </row>
    <row r="9" customFormat="false" ht="18" hidden="false" customHeight="true" outlineLevel="0" collapsed="false">
      <c r="A9" s="21" t="s">
        <v>84</v>
      </c>
      <c r="B9" s="21" t="s">
        <v>256</v>
      </c>
      <c r="C9" s="23"/>
      <c r="D9" s="23"/>
      <c r="E9" s="23"/>
      <c r="F9" s="22" t="s">
        <v>250</v>
      </c>
      <c r="G9" s="22" t="s">
        <v>250</v>
      </c>
      <c r="H9" s="23"/>
    </row>
    <row r="10" customFormat="false" ht="18" hidden="false" customHeight="true" outlineLevel="0" collapsed="false">
      <c r="A10" s="24" t="s">
        <v>93</v>
      </c>
      <c r="B10" s="24" t="s">
        <v>257</v>
      </c>
      <c r="C10" s="25"/>
      <c r="D10" s="25"/>
      <c r="E10" s="25"/>
      <c r="F10" s="22" t="s">
        <v>250</v>
      </c>
      <c r="G10" s="25"/>
      <c r="H10" s="25"/>
    </row>
    <row r="11" customFormat="false" ht="18" hidden="false" customHeight="true" outlineLevel="0" collapsed="false">
      <c r="A11" s="21" t="s">
        <v>103</v>
      </c>
      <c r="B11" s="21" t="s">
        <v>258</v>
      </c>
      <c r="C11" s="22" t="s">
        <v>250</v>
      </c>
      <c r="D11" s="23"/>
      <c r="E11" s="22" t="s">
        <v>250</v>
      </c>
      <c r="F11" s="23"/>
      <c r="G11" s="23"/>
      <c r="H11" s="23"/>
    </row>
    <row r="12" customFormat="false" ht="18" hidden="false" customHeight="true" outlineLevel="0" collapsed="false">
      <c r="A12" s="24" t="s">
        <v>113</v>
      </c>
      <c r="B12" s="24" t="s">
        <v>259</v>
      </c>
      <c r="C12" s="22" t="s">
        <v>250</v>
      </c>
      <c r="D12" s="22" t="s">
        <v>250</v>
      </c>
      <c r="E12" s="22" t="s">
        <v>250</v>
      </c>
      <c r="F12" s="25"/>
      <c r="G12" s="25"/>
      <c r="H12" s="25"/>
    </row>
    <row r="13" customFormat="false" ht="18" hidden="false" customHeight="true" outlineLevel="0" collapsed="false">
      <c r="A13" s="21" t="s">
        <v>122</v>
      </c>
      <c r="B13" s="21" t="s">
        <v>260</v>
      </c>
      <c r="C13" s="22" t="s">
        <v>250</v>
      </c>
      <c r="D13" s="22" t="s">
        <v>250</v>
      </c>
      <c r="E13" s="23"/>
      <c r="F13" s="23"/>
      <c r="G13" s="23"/>
      <c r="H13" s="23"/>
    </row>
    <row r="14" customFormat="false" ht="18" hidden="false" customHeight="true" outlineLevel="0" collapsed="false">
      <c r="A14" s="24" t="s">
        <v>131</v>
      </c>
      <c r="B14" s="24" t="s">
        <v>261</v>
      </c>
      <c r="C14" s="25"/>
      <c r="D14" s="25"/>
      <c r="E14" s="25"/>
      <c r="F14" s="22" t="s">
        <v>250</v>
      </c>
      <c r="G14" s="25"/>
      <c r="H14" s="25"/>
    </row>
    <row r="15" customFormat="false" ht="18" hidden="false" customHeight="true" outlineLevel="0" collapsed="false">
      <c r="A15" s="21" t="s">
        <v>140</v>
      </c>
      <c r="B15" s="21" t="s">
        <v>262</v>
      </c>
      <c r="C15" s="23"/>
      <c r="D15" s="23"/>
      <c r="E15" s="23"/>
      <c r="F15" s="23"/>
      <c r="G15" s="22" t="s">
        <v>250</v>
      </c>
      <c r="H15" s="23"/>
    </row>
    <row r="16" customFormat="false" ht="18" hidden="false" customHeight="true" outlineLevel="0" collapsed="false">
      <c r="A16" s="24" t="s">
        <v>150</v>
      </c>
      <c r="B16" s="24" t="s">
        <v>263</v>
      </c>
      <c r="C16" s="22" t="s">
        <v>250</v>
      </c>
      <c r="D16" s="25"/>
      <c r="E16" s="22" t="s">
        <v>250</v>
      </c>
      <c r="F16" s="25"/>
      <c r="G16" s="25"/>
      <c r="H16" s="25"/>
    </row>
    <row r="17" customFormat="false" ht="18" hidden="false" customHeight="true" outlineLevel="0" collapsed="false">
      <c r="A17" s="21" t="s">
        <v>160</v>
      </c>
      <c r="B17" s="21" t="s">
        <v>264</v>
      </c>
      <c r="C17" s="22" t="s">
        <v>250</v>
      </c>
      <c r="D17" s="23"/>
      <c r="E17" s="22" t="s">
        <v>250</v>
      </c>
      <c r="F17" s="23"/>
      <c r="G17" s="23"/>
      <c r="H17" s="23"/>
    </row>
    <row r="18" customFormat="false" ht="18" hidden="false" customHeight="true" outlineLevel="0" collapsed="false">
      <c r="A18" s="24" t="s">
        <v>168</v>
      </c>
      <c r="B18" s="24" t="s">
        <v>265</v>
      </c>
      <c r="C18" s="25"/>
      <c r="D18" s="22" t="s">
        <v>250</v>
      </c>
      <c r="E18" s="25"/>
      <c r="F18" s="25"/>
      <c r="G18" s="25"/>
      <c r="H18" s="25"/>
    </row>
    <row r="19" customFormat="false" ht="18" hidden="false" customHeight="true" outlineLevel="0" collapsed="false">
      <c r="A19" s="21" t="s">
        <v>177</v>
      </c>
      <c r="B19" s="21" t="s">
        <v>266</v>
      </c>
      <c r="C19" s="22" t="s">
        <v>250</v>
      </c>
      <c r="D19" s="22" t="s">
        <v>250</v>
      </c>
      <c r="E19" s="22" t="s">
        <v>250</v>
      </c>
      <c r="F19" s="22" t="s">
        <v>250</v>
      </c>
      <c r="G19" s="23"/>
      <c r="H19" s="23"/>
    </row>
    <row r="20" customFormat="false" ht="18" hidden="false" customHeight="true" outlineLevel="0" collapsed="false">
      <c r="A20" s="24" t="s">
        <v>186</v>
      </c>
      <c r="B20" s="24" t="s">
        <v>267</v>
      </c>
      <c r="C20" s="25"/>
      <c r="D20" s="22" t="s">
        <v>250</v>
      </c>
      <c r="E20" s="22" t="s">
        <v>250</v>
      </c>
      <c r="F20" s="25"/>
      <c r="G20" s="22" t="s">
        <v>250</v>
      </c>
      <c r="H20" s="25"/>
    </row>
    <row r="21" customFormat="false" ht="18" hidden="false" customHeight="true" outlineLevel="0" collapsed="false">
      <c r="A21" s="21" t="s">
        <v>195</v>
      </c>
      <c r="B21" s="21" t="s">
        <v>268</v>
      </c>
      <c r="C21" s="23"/>
      <c r="D21" s="23"/>
      <c r="E21" s="23"/>
      <c r="F21" s="23"/>
      <c r="G21" s="23"/>
      <c r="H21" s="22" t="s">
        <v>250</v>
      </c>
    </row>
    <row r="22" customFormat="false" ht="18" hidden="false" customHeight="true" outlineLevel="0" collapsed="false">
      <c r="A22" s="24" t="s">
        <v>203</v>
      </c>
      <c r="B22" s="24" t="s">
        <v>269</v>
      </c>
      <c r="C22" s="25"/>
      <c r="D22" s="25"/>
      <c r="E22" s="25"/>
      <c r="F22" s="25"/>
      <c r="G22" s="25"/>
      <c r="H22" s="25"/>
    </row>
    <row r="23" customFormat="false" ht="18" hidden="false" customHeight="true" outlineLevel="0" collapsed="false">
      <c r="A23" s="21" t="s">
        <v>213</v>
      </c>
      <c r="B23" s="21" t="s">
        <v>270</v>
      </c>
      <c r="C23" s="22" t="s">
        <v>250</v>
      </c>
      <c r="D23" s="23"/>
      <c r="E23" s="23"/>
      <c r="F23" s="23"/>
      <c r="G23" s="23"/>
      <c r="H23" s="23"/>
    </row>
    <row r="24" customFormat="false" ht="18" hidden="false" customHeight="true" outlineLevel="0" collapsed="false">
      <c r="A24" s="24" t="s">
        <v>223</v>
      </c>
      <c r="B24" s="24" t="s">
        <v>271</v>
      </c>
      <c r="C24" s="22" t="s">
        <v>250</v>
      </c>
      <c r="D24" s="25"/>
      <c r="E24" s="25"/>
      <c r="F24" s="25"/>
      <c r="G24" s="25"/>
      <c r="H24" s="25"/>
    </row>
  </sheetData>
  <autoFilter ref="A2:H24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2026-08-02T23:01:23Z</dcterms:created>
  <dc:creator>openpyxl</dc:creator>
  <dc:description/>
  <dc:language>en-US</dc:language>
  <cp:lastModifiedBy/>
  <dcterms:modified xsi:type="dcterms:W3CDTF">2026-08-02T23:01:24Z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